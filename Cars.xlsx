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Summary by brand" sheetId="2" state="visible" r:id="rId2"/>
    <sheet name="Promotions 2025" sheetId="3" state="visible" r:id="rId3"/>
  </sheets>
  <definedNames>
    <definedName name="_xlnm._FilterDatabase" localSheetId="0" hidden="1">'Cars'!$A$1:$K$24</definedName>
    <definedName name="_xlnm._FilterDatabase" localSheetId="1" hidden="1">'Summary by brand'!$A$2:$E$10</definedName>
    <definedName name="_xlnm._FilterDatabase" localSheetId="2" hidden="1">'Promotions 2025'!$A$2:$D$5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10" customWidth="1" min="9" max="9"/>
    <col width="11" customWidth="1" min="10" max="10"/>
    <col width="20" customWidth="1" min="11" max="11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Engine size</t>
        </is>
      </c>
      <c r="D1" s="1" t="inlineStr">
        <is>
          <t>Horse Power (hp)</t>
        </is>
      </c>
      <c r="E1" s="1" t="inlineStr">
        <is>
          <t>Torque (Nm)</t>
        </is>
      </c>
      <c r="F1" s="1" t="inlineStr">
        <is>
          <t>Price for the Importer</t>
        </is>
      </c>
      <c r="G1" s="1" t="inlineStr">
        <is>
          <t>Price for the Customer</t>
        </is>
      </c>
      <c r="H1" s="1" t="inlineStr">
        <is>
          <t>Clean profit (per car)</t>
        </is>
      </c>
      <c r="I1" s="1" t="inlineStr">
        <is>
          <t>In stock</t>
        </is>
      </c>
      <c r="J1" s="1" t="inlineStr">
        <is>
          <t>Sold (2025)</t>
        </is>
      </c>
      <c r="K1" s="1" t="inlineStr">
        <is>
          <t>Total profit (2025)</t>
        </is>
      </c>
    </row>
    <row r="2">
      <c r="A2" s="2" t="inlineStr">
        <is>
          <t>Porsche</t>
        </is>
      </c>
      <c r="B2" s="2" t="inlineStr">
        <is>
          <t>718 Cayman</t>
        </is>
      </c>
      <c r="C2" s="3" t="inlineStr">
        <is>
          <t>2.0L</t>
        </is>
      </c>
      <c r="D2" s="3" t="n">
        <v>292</v>
      </c>
      <c r="E2" s="3" t="n">
        <v>405</v>
      </c>
      <c r="F2" s="4" t="n">
        <v>397000</v>
      </c>
      <c r="G2" s="4" t="n">
        <v>500000</v>
      </c>
      <c r="H2" s="4">
        <f>G2-F2</f>
        <v/>
      </c>
      <c r="I2" s="3" t="n">
        <v>417</v>
      </c>
      <c r="J2" s="3" t="n">
        <v>175</v>
      </c>
      <c r="K2" s="4">
        <f>H2*J2</f>
        <v/>
      </c>
    </row>
    <row r="3">
      <c r="A3" s="5" t="inlineStr">
        <is>
          <t>Porsche</t>
        </is>
      </c>
      <c r="B3" s="5" t="inlineStr">
        <is>
          <t>911 Carrera</t>
        </is>
      </c>
      <c r="C3" s="6" t="inlineStr">
        <is>
          <t>3.0L</t>
        </is>
      </c>
      <c r="D3" s="6" t="n">
        <v>394</v>
      </c>
      <c r="E3" s="6" t="n">
        <v>575</v>
      </c>
      <c r="F3" s="7" t="n">
        <v>518000</v>
      </c>
      <c r="G3" s="7" t="n">
        <v>687000</v>
      </c>
      <c r="H3" s="7">
        <f>G3-F3</f>
        <v/>
      </c>
      <c r="I3" s="6" t="n">
        <v>56</v>
      </c>
      <c r="J3" s="6" t="n">
        <v>125</v>
      </c>
      <c r="K3" s="7">
        <f>H3*J3</f>
        <v/>
      </c>
    </row>
    <row r="4">
      <c r="A4" s="2" t="inlineStr">
        <is>
          <t>Porsche</t>
        </is>
      </c>
      <c r="B4" s="2" t="inlineStr">
        <is>
          <t>911 GT3</t>
        </is>
      </c>
      <c r="C4" s="3" t="inlineStr">
        <is>
          <t>4L</t>
        </is>
      </c>
      <c r="D4" s="3" t="n">
        <v>599</v>
      </c>
      <c r="E4" s="3" t="n">
        <v>850</v>
      </c>
      <c r="F4" s="4" t="n">
        <v>711000</v>
      </c>
      <c r="G4" s="4" t="n">
        <v>871000</v>
      </c>
      <c r="H4" s="4">
        <f>G4-F4</f>
        <v/>
      </c>
      <c r="I4" s="3" t="n">
        <v>141</v>
      </c>
      <c r="J4" s="3" t="n">
        <v>74</v>
      </c>
      <c r="K4" s="4">
        <f>H4*J4</f>
        <v/>
      </c>
    </row>
    <row r="5">
      <c r="A5" s="5" t="inlineStr">
        <is>
          <t>BMW</t>
        </is>
      </c>
      <c r="B5" s="5" t="inlineStr">
        <is>
          <t>118i</t>
        </is>
      </c>
      <c r="C5" s="6" t="inlineStr">
        <is>
          <t>1.6L</t>
        </is>
      </c>
      <c r="D5" s="6" t="n">
        <v>194</v>
      </c>
      <c r="E5" s="6" t="n">
        <v>270</v>
      </c>
      <c r="F5" s="7" t="n">
        <v>201000</v>
      </c>
      <c r="G5" s="7" t="n">
        <v>261000</v>
      </c>
      <c r="H5" s="7">
        <f>G5-F5</f>
        <v/>
      </c>
      <c r="I5" s="6" t="n">
        <v>182</v>
      </c>
      <c r="J5" s="6" t="n">
        <v>285</v>
      </c>
      <c r="K5" s="7">
        <f>H5*J5</f>
        <v/>
      </c>
    </row>
    <row r="6">
      <c r="A6" s="2" t="inlineStr">
        <is>
          <t>BMW</t>
        </is>
      </c>
      <c r="B6" s="2" t="inlineStr">
        <is>
          <t>330i</t>
        </is>
      </c>
      <c r="C6" s="3" t="inlineStr">
        <is>
          <t>2.0L</t>
        </is>
      </c>
      <c r="D6" s="3" t="n">
        <v>277</v>
      </c>
      <c r="E6" s="3" t="n">
        <v>375</v>
      </c>
      <c r="F6" s="4" t="n">
        <v>243000</v>
      </c>
      <c r="G6" s="4" t="n">
        <v>327000</v>
      </c>
      <c r="H6" s="4">
        <f>G6-F6</f>
        <v/>
      </c>
      <c r="I6" s="3" t="n">
        <v>214</v>
      </c>
      <c r="J6" s="3" t="n">
        <v>261</v>
      </c>
      <c r="K6" s="4">
        <f>H6*J6</f>
        <v/>
      </c>
    </row>
    <row r="7">
      <c r="A7" s="5" t="inlineStr">
        <is>
          <t>BMW</t>
        </is>
      </c>
      <c r="B7" s="5" t="inlineStr">
        <is>
          <t>M340i</t>
        </is>
      </c>
      <c r="C7" s="6" t="inlineStr">
        <is>
          <t>3.0L</t>
        </is>
      </c>
      <c r="D7" s="6" t="n">
        <v>375</v>
      </c>
      <c r="E7" s="6" t="n">
        <v>520</v>
      </c>
      <c r="F7" s="7" t="n">
        <v>304000</v>
      </c>
      <c r="G7" s="7" t="n">
        <v>376000</v>
      </c>
      <c r="H7" s="7">
        <f>G7-F7</f>
        <v/>
      </c>
      <c r="I7" s="6" t="n">
        <v>234</v>
      </c>
      <c r="J7" s="6" t="n">
        <v>219</v>
      </c>
      <c r="K7" s="7">
        <f>H7*J7</f>
        <v/>
      </c>
    </row>
    <row r="8">
      <c r="A8" s="2" t="inlineStr">
        <is>
          <t>BMW</t>
        </is>
      </c>
      <c r="B8" s="2" t="inlineStr">
        <is>
          <t>M3 (E92 V8)</t>
        </is>
      </c>
      <c r="C8" s="3" t="inlineStr">
        <is>
          <t>4L</t>
        </is>
      </c>
      <c r="D8" s="3" t="n">
        <v>565</v>
      </c>
      <c r="E8" s="3" t="n">
        <v>840</v>
      </c>
      <c r="F8" s="4" t="n">
        <v>411000</v>
      </c>
      <c r="G8" s="4" t="n">
        <v>561000</v>
      </c>
      <c r="H8" s="4">
        <f>G8-F8</f>
        <v/>
      </c>
      <c r="I8" s="3" t="n">
        <v>413</v>
      </c>
      <c r="J8" s="3" t="n">
        <v>177</v>
      </c>
      <c r="K8" s="4">
        <f>H8*J8</f>
        <v/>
      </c>
    </row>
    <row r="9">
      <c r="A9" s="5" t="inlineStr">
        <is>
          <t>Mercedes</t>
        </is>
      </c>
      <c r="B9" s="5" t="inlineStr">
        <is>
          <t>A 180</t>
        </is>
      </c>
      <c r="C9" s="6" t="inlineStr">
        <is>
          <t>1.6L</t>
        </is>
      </c>
      <c r="D9" s="6" t="n">
        <v>190</v>
      </c>
      <c r="E9" s="6" t="n">
        <v>255</v>
      </c>
      <c r="F9" s="7" t="n">
        <v>225000</v>
      </c>
      <c r="G9" s="7" t="n">
        <v>278000</v>
      </c>
      <c r="H9" s="7">
        <f>G9-F9</f>
        <v/>
      </c>
      <c r="I9" s="6" t="n">
        <v>190</v>
      </c>
      <c r="J9" s="6" t="n">
        <v>300</v>
      </c>
      <c r="K9" s="7">
        <f>H9*J9</f>
        <v/>
      </c>
    </row>
    <row r="10">
      <c r="A10" s="2" t="inlineStr">
        <is>
          <t>Mercedes</t>
        </is>
      </c>
      <c r="B10" s="2" t="inlineStr">
        <is>
          <t>C 300</t>
        </is>
      </c>
      <c r="C10" s="3" t="inlineStr">
        <is>
          <t>2.0L</t>
        </is>
      </c>
      <c r="D10" s="3" t="n">
        <v>277</v>
      </c>
      <c r="E10" s="3" t="n">
        <v>395</v>
      </c>
      <c r="F10" s="4" t="n">
        <v>256000</v>
      </c>
      <c r="G10" s="4" t="n">
        <v>339000</v>
      </c>
      <c r="H10" s="4">
        <f>G10-F10</f>
        <v/>
      </c>
      <c r="I10" s="3" t="n">
        <v>400</v>
      </c>
      <c r="J10" s="3" t="n">
        <v>237</v>
      </c>
      <c r="K10" s="4">
        <f>H10*J10</f>
        <v/>
      </c>
    </row>
    <row r="11">
      <c r="A11" s="5" t="inlineStr">
        <is>
          <t>Mercedes</t>
        </is>
      </c>
      <c r="B11" s="5" t="inlineStr">
        <is>
          <t>E 450</t>
        </is>
      </c>
      <c r="C11" s="6" t="inlineStr">
        <is>
          <t>3.0L</t>
        </is>
      </c>
      <c r="D11" s="6" t="n">
        <v>369</v>
      </c>
      <c r="E11" s="6" t="n">
        <v>535</v>
      </c>
      <c r="F11" s="7" t="n">
        <v>320000</v>
      </c>
      <c r="G11" s="7" t="n">
        <v>447000</v>
      </c>
      <c r="H11" s="7">
        <f>G11-F11</f>
        <v/>
      </c>
      <c r="I11" s="6" t="n">
        <v>477</v>
      </c>
      <c r="J11" s="6" t="n">
        <v>213</v>
      </c>
      <c r="K11" s="7">
        <f>H11*J11</f>
        <v/>
      </c>
    </row>
    <row r="12">
      <c r="A12" s="2" t="inlineStr">
        <is>
          <t>Mercedes</t>
        </is>
      </c>
      <c r="B12" s="2" t="inlineStr">
        <is>
          <t>AMG GT 63</t>
        </is>
      </c>
      <c r="C12" s="3" t="inlineStr">
        <is>
          <t>4L</t>
        </is>
      </c>
      <c r="D12" s="3" t="n">
        <v>571</v>
      </c>
      <c r="E12" s="3" t="n">
        <v>790</v>
      </c>
      <c r="F12" s="4" t="n">
        <v>414000</v>
      </c>
      <c r="G12" s="4" t="n">
        <v>552000</v>
      </c>
      <c r="H12" s="4">
        <f>G12-F12</f>
        <v/>
      </c>
      <c r="I12" s="3" t="n">
        <v>226</v>
      </c>
      <c r="J12" s="3" t="n">
        <v>163</v>
      </c>
      <c r="K12" s="4">
        <f>H12*J12</f>
        <v/>
      </c>
    </row>
    <row r="13">
      <c r="A13" s="5" t="inlineStr">
        <is>
          <t>Lexus</t>
        </is>
      </c>
      <c r="B13" s="5" t="inlineStr">
        <is>
          <t>IS 300</t>
        </is>
      </c>
      <c r="C13" s="6" t="inlineStr">
        <is>
          <t>2.0L</t>
        </is>
      </c>
      <c r="D13" s="6" t="n">
        <v>238</v>
      </c>
      <c r="E13" s="6" t="n">
        <v>350</v>
      </c>
      <c r="F13" s="7" t="n">
        <v>215000</v>
      </c>
      <c r="G13" s="7" t="n">
        <v>289000</v>
      </c>
      <c r="H13" s="7">
        <f>G13-F13</f>
        <v/>
      </c>
      <c r="I13" s="6" t="n">
        <v>389</v>
      </c>
      <c r="J13" s="6" t="n">
        <v>277</v>
      </c>
      <c r="K13" s="7">
        <f>H13*J13</f>
        <v/>
      </c>
    </row>
    <row r="14">
      <c r="A14" s="2" t="inlineStr">
        <is>
          <t>Lexus</t>
        </is>
      </c>
      <c r="B14" s="2" t="inlineStr">
        <is>
          <t>ES 350</t>
        </is>
      </c>
      <c r="C14" s="3" t="inlineStr">
        <is>
          <t>3.5L</t>
        </is>
      </c>
      <c r="D14" s="3" t="n">
        <v>291</v>
      </c>
      <c r="E14" s="3" t="n">
        <v>360</v>
      </c>
      <c r="F14" s="4" t="n">
        <v>280000</v>
      </c>
      <c r="G14" s="4" t="n">
        <v>378000</v>
      </c>
      <c r="H14" s="4">
        <f>G14-F14</f>
        <v/>
      </c>
      <c r="I14" s="3" t="n">
        <v>123</v>
      </c>
      <c r="J14" s="3" t="n">
        <v>250</v>
      </c>
      <c r="K14" s="4">
        <f>H14*J14</f>
        <v/>
      </c>
    </row>
    <row r="15">
      <c r="A15" s="5" t="inlineStr">
        <is>
          <t>Jaguar</t>
        </is>
      </c>
      <c r="B15" s="5" t="inlineStr">
        <is>
          <t>XE P250</t>
        </is>
      </c>
      <c r="C15" s="6" t="inlineStr">
        <is>
          <t>2.0L</t>
        </is>
      </c>
      <c r="D15" s="6" t="n">
        <v>262</v>
      </c>
      <c r="E15" s="6" t="n">
        <v>375</v>
      </c>
      <c r="F15" s="7" t="n">
        <v>258000</v>
      </c>
      <c r="G15" s="7" t="n">
        <v>347000</v>
      </c>
      <c r="H15" s="7">
        <f>G15-F15</f>
        <v/>
      </c>
      <c r="I15" s="6" t="n">
        <v>152</v>
      </c>
      <c r="J15" s="6" t="n">
        <v>238</v>
      </c>
      <c r="K15" s="7">
        <f>H15*J15</f>
        <v/>
      </c>
    </row>
    <row r="16">
      <c r="A16" s="2" t="inlineStr">
        <is>
          <t>Jaguar</t>
        </is>
      </c>
      <c r="B16" s="2" t="inlineStr">
        <is>
          <t>F-PACE S</t>
        </is>
      </c>
      <c r="C16" s="3" t="inlineStr">
        <is>
          <t>3.0L</t>
        </is>
      </c>
      <c r="D16" s="3" t="n">
        <v>376</v>
      </c>
      <c r="E16" s="3" t="n">
        <v>530</v>
      </c>
      <c r="F16" s="4" t="n">
        <v>320000</v>
      </c>
      <c r="G16" s="4" t="n">
        <v>404000</v>
      </c>
      <c r="H16" s="4">
        <f>G16-F16</f>
        <v/>
      </c>
      <c r="I16" s="3" t="n">
        <v>56</v>
      </c>
      <c r="J16" s="3" t="n">
        <v>239</v>
      </c>
      <c r="K16" s="4">
        <f>H16*J16</f>
        <v/>
      </c>
    </row>
    <row r="17">
      <c r="A17" s="5" t="inlineStr">
        <is>
          <t>Bentley</t>
        </is>
      </c>
      <c r="B17" s="5" t="inlineStr">
        <is>
          <t>Continental GT V8</t>
        </is>
      </c>
      <c r="C17" s="6" t="inlineStr">
        <is>
          <t>4L</t>
        </is>
      </c>
      <c r="D17" s="6" t="n">
        <v>569</v>
      </c>
      <c r="E17" s="6" t="n">
        <v>770</v>
      </c>
      <c r="F17" s="7" t="n">
        <v>1725000</v>
      </c>
      <c r="G17" s="7" t="n">
        <v>2388000</v>
      </c>
      <c r="H17" s="7">
        <f>G17-F17</f>
        <v/>
      </c>
      <c r="I17" s="6" t="n">
        <v>330</v>
      </c>
      <c r="J17" s="6" t="n">
        <v>46</v>
      </c>
      <c r="K17" s="7">
        <f>H17*J17</f>
        <v/>
      </c>
    </row>
    <row r="18">
      <c r="A18" s="2" t="inlineStr">
        <is>
          <t>Bentley</t>
        </is>
      </c>
      <c r="B18" s="2" t="inlineStr">
        <is>
          <t>Continental GT W12</t>
        </is>
      </c>
      <c r="C18" s="3" t="inlineStr">
        <is>
          <t>6L</t>
        </is>
      </c>
      <c r="D18" s="3" t="n">
        <v>660</v>
      </c>
      <c r="E18" s="3" t="n">
        <v>895</v>
      </c>
      <c r="F18" s="4" t="n">
        <v>2422000</v>
      </c>
      <c r="G18" s="4" t="n">
        <v>3127000</v>
      </c>
      <c r="H18" s="4">
        <f>G18-F18</f>
        <v/>
      </c>
      <c r="I18" s="3" t="n">
        <v>369</v>
      </c>
      <c r="J18" s="3" t="n">
        <v>55</v>
      </c>
      <c r="K18" s="4">
        <f>H18*J18</f>
        <v/>
      </c>
    </row>
    <row r="19">
      <c r="A19" s="5" t="inlineStr">
        <is>
          <t>Acura</t>
        </is>
      </c>
      <c r="B19" s="5" t="inlineStr">
        <is>
          <t>Integra</t>
        </is>
      </c>
      <c r="C19" s="6" t="inlineStr">
        <is>
          <t>2.0L</t>
        </is>
      </c>
      <c r="D19" s="6" t="n">
        <v>236</v>
      </c>
      <c r="E19" s="6" t="n">
        <v>335</v>
      </c>
      <c r="F19" s="7" t="n">
        <v>147000</v>
      </c>
      <c r="G19" s="7" t="n">
        <v>194000</v>
      </c>
      <c r="H19" s="7">
        <f>G19-F19</f>
        <v/>
      </c>
      <c r="I19" s="6" t="n">
        <v>174</v>
      </c>
      <c r="J19" s="6" t="n">
        <v>318</v>
      </c>
      <c r="K19" s="7">
        <f>H19*J19</f>
        <v/>
      </c>
    </row>
    <row r="20">
      <c r="A20" s="2" t="inlineStr">
        <is>
          <t>Acura</t>
        </is>
      </c>
      <c r="B20" s="2" t="inlineStr">
        <is>
          <t>TLX Type S</t>
        </is>
      </c>
      <c r="C20" s="3" t="inlineStr">
        <is>
          <t>3.0L</t>
        </is>
      </c>
      <c r="D20" s="3" t="n">
        <v>341</v>
      </c>
      <c r="E20" s="3" t="n">
        <v>460</v>
      </c>
      <c r="F20" s="4" t="n">
        <v>193000</v>
      </c>
      <c r="G20" s="4" t="n">
        <v>248000</v>
      </c>
      <c r="H20" s="4">
        <f>G20-F20</f>
        <v/>
      </c>
      <c r="I20" s="3" t="n">
        <v>110</v>
      </c>
      <c r="J20" s="3" t="n">
        <v>280</v>
      </c>
      <c r="K20" s="4">
        <f>H20*J20</f>
        <v/>
      </c>
    </row>
    <row r="21">
      <c r="A21" s="5" t="inlineStr">
        <is>
          <t>Acura</t>
        </is>
      </c>
      <c r="B21" s="5" t="inlineStr">
        <is>
          <t>MDX</t>
        </is>
      </c>
      <c r="C21" s="6" t="inlineStr">
        <is>
          <t>3.5L</t>
        </is>
      </c>
      <c r="D21" s="6" t="n">
        <v>279</v>
      </c>
      <c r="E21" s="6" t="n">
        <v>335</v>
      </c>
      <c r="F21" s="7" t="n">
        <v>199000</v>
      </c>
      <c r="G21" s="7" t="n">
        <v>247000</v>
      </c>
      <c r="H21" s="7">
        <f>G21-F21</f>
        <v/>
      </c>
      <c r="I21" s="6" t="n">
        <v>361</v>
      </c>
      <c r="J21" s="6" t="n">
        <v>288</v>
      </c>
      <c r="K21" s="7">
        <f>H21*J21</f>
        <v/>
      </c>
    </row>
    <row r="22">
      <c r="A22" s="2" t="inlineStr">
        <is>
          <t>Infinite</t>
        </is>
      </c>
      <c r="B22" s="2" t="inlineStr">
        <is>
          <t>Q50 2.0t</t>
        </is>
      </c>
      <c r="C22" s="3" t="inlineStr">
        <is>
          <t>2.0L</t>
        </is>
      </c>
      <c r="D22" s="3" t="n">
        <v>238</v>
      </c>
      <c r="E22" s="3" t="n">
        <v>360</v>
      </c>
      <c r="F22" s="4" t="n">
        <v>165000</v>
      </c>
      <c r="G22" s="4" t="n">
        <v>213000</v>
      </c>
      <c r="H22" s="4">
        <f>G22-F22</f>
        <v/>
      </c>
      <c r="I22" s="3" t="n">
        <v>345</v>
      </c>
      <c r="J22" s="3" t="n">
        <v>277</v>
      </c>
      <c r="K22" s="4">
        <f>H22*J22</f>
        <v/>
      </c>
    </row>
    <row r="23">
      <c r="A23" s="5" t="inlineStr">
        <is>
          <t>Infinite</t>
        </is>
      </c>
      <c r="B23" s="5" t="inlineStr">
        <is>
          <t>Q60 Red Sport</t>
        </is>
      </c>
      <c r="C23" s="6" t="inlineStr">
        <is>
          <t>3.0L</t>
        </is>
      </c>
      <c r="D23" s="6" t="n">
        <v>359</v>
      </c>
      <c r="E23" s="6" t="n">
        <v>480</v>
      </c>
      <c r="F23" s="7" t="n">
        <v>218000</v>
      </c>
      <c r="G23" s="7" t="n">
        <v>300000</v>
      </c>
      <c r="H23" s="7">
        <f>G23-F23</f>
        <v/>
      </c>
      <c r="I23" s="6" t="n">
        <v>45</v>
      </c>
      <c r="J23" s="6" t="n">
        <v>248</v>
      </c>
      <c r="K23" s="7">
        <f>H23*J23</f>
        <v/>
      </c>
    </row>
    <row r="24">
      <c r="A24" s="2" t="inlineStr">
        <is>
          <t>Infinite</t>
        </is>
      </c>
      <c r="B24" s="2" t="inlineStr">
        <is>
          <t>QX60</t>
        </is>
      </c>
      <c r="C24" s="3" t="inlineStr">
        <is>
          <t>3.5L</t>
        </is>
      </c>
      <c r="D24" s="3" t="n">
        <v>292</v>
      </c>
      <c r="E24" s="3" t="n">
        <v>345</v>
      </c>
      <c r="F24" s="4" t="n">
        <v>239000</v>
      </c>
      <c r="G24" s="4" t="n">
        <v>324000</v>
      </c>
      <c r="H24" s="4">
        <f>G24-F24</f>
        <v/>
      </c>
      <c r="I24" s="3" t="n">
        <v>433</v>
      </c>
      <c r="J24" s="3" t="n">
        <v>255</v>
      </c>
      <c r="K24" s="4">
        <f>H24*J24</f>
        <v/>
      </c>
    </row>
    <row r="25">
      <c r="A25" s="8" t="inlineStr">
        <is>
          <t>TOTAL</t>
        </is>
      </c>
      <c r="I25" s="9">
        <f>SUM(I2:I24)</f>
        <v/>
      </c>
      <c r="J25" s="9">
        <f>SUM(J2:J24)</f>
        <v/>
      </c>
      <c r="K25" s="10">
        <f>SUM(K2:K24)</f>
        <v/>
      </c>
    </row>
  </sheetData>
  <autoFilter ref="A1:K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6" customWidth="1" min="5" max="5"/>
  </cols>
  <sheetData>
    <row r="1">
      <c r="A1" s="11" t="inlineStr">
        <is>
          <t>Performance by brand (2025)</t>
        </is>
      </c>
    </row>
    <row r="2">
      <c r="A2" s="1" t="inlineStr">
        <is>
          <t>Brand</t>
        </is>
      </c>
      <c r="B2" s="1" t="inlineStr">
        <is>
          <t>Models</t>
        </is>
      </c>
      <c r="C2" s="1" t="inlineStr">
        <is>
          <t>Units sold</t>
        </is>
      </c>
      <c r="D2" s="1" t="inlineStr">
        <is>
          <t>In stock</t>
        </is>
      </c>
      <c r="E2" s="1" t="inlineStr">
        <is>
          <t>Total clean profit (sold)</t>
        </is>
      </c>
    </row>
    <row r="3">
      <c r="A3" s="2" t="inlineStr">
        <is>
          <t>Porsche</t>
        </is>
      </c>
      <c r="B3" s="3" t="n">
        <v>3</v>
      </c>
      <c r="C3" s="3" t="n">
        <v>374</v>
      </c>
      <c r="D3" s="3" t="n">
        <v>614</v>
      </c>
      <c r="E3" s="4" t="n">
        <v>50990000</v>
      </c>
    </row>
    <row r="4">
      <c r="A4" s="5" t="inlineStr">
        <is>
          <t>BMW</t>
        </is>
      </c>
      <c r="B4" s="6" t="n">
        <v>4</v>
      </c>
      <c r="C4" s="6" t="n">
        <v>942</v>
      </c>
      <c r="D4" s="6" t="n">
        <v>1043</v>
      </c>
      <c r="E4" s="7" t="n">
        <v>81342000</v>
      </c>
    </row>
    <row r="5">
      <c r="A5" s="2" t="inlineStr">
        <is>
          <t>Mercedes</t>
        </is>
      </c>
      <c r="B5" s="3" t="n">
        <v>4</v>
      </c>
      <c r="C5" s="3" t="n">
        <v>913</v>
      </c>
      <c r="D5" s="3" t="n">
        <v>1293</v>
      </c>
      <c r="E5" s="4" t="n">
        <v>85116000</v>
      </c>
    </row>
    <row r="6">
      <c r="A6" s="5" t="inlineStr">
        <is>
          <t>Lexus</t>
        </is>
      </c>
      <c r="B6" s="6" t="n">
        <v>2</v>
      </c>
      <c r="C6" s="6" t="n">
        <v>527</v>
      </c>
      <c r="D6" s="6" t="n">
        <v>512</v>
      </c>
      <c r="E6" s="7" t="n">
        <v>44998000</v>
      </c>
    </row>
    <row r="7">
      <c r="A7" s="2" t="inlineStr">
        <is>
          <t>Jaguar</t>
        </is>
      </c>
      <c r="B7" s="3" t="n">
        <v>2</v>
      </c>
      <c r="C7" s="3" t="n">
        <v>477</v>
      </c>
      <c r="D7" s="3" t="n">
        <v>208</v>
      </c>
      <c r="E7" s="4" t="n">
        <v>41258000</v>
      </c>
    </row>
    <row r="8">
      <c r="A8" s="5" t="inlineStr">
        <is>
          <t>Bentley</t>
        </is>
      </c>
      <c r="B8" s="6" t="n">
        <v>2</v>
      </c>
      <c r="C8" s="6" t="n">
        <v>101</v>
      </c>
      <c r="D8" s="6" t="n">
        <v>699</v>
      </c>
      <c r="E8" s="7" t="n">
        <v>69273000</v>
      </c>
    </row>
    <row r="9">
      <c r="A9" s="2" t="inlineStr">
        <is>
          <t>Acura</t>
        </is>
      </c>
      <c r="B9" s="3" t="n">
        <v>3</v>
      </c>
      <c r="C9" s="3" t="n">
        <v>886</v>
      </c>
      <c r="D9" s="3" t="n">
        <v>645</v>
      </c>
      <c r="E9" s="4" t="n">
        <v>44170000</v>
      </c>
    </row>
    <row r="10">
      <c r="A10" s="5" t="inlineStr">
        <is>
          <t>Infinite</t>
        </is>
      </c>
      <c r="B10" s="6" t="n">
        <v>3</v>
      </c>
      <c r="C10" s="6" t="n">
        <v>780</v>
      </c>
      <c r="D10" s="6" t="n">
        <v>823</v>
      </c>
      <c r="E10" s="7" t="n">
        <v>55307000</v>
      </c>
    </row>
  </sheetData>
  <autoFilter ref="A2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2" customWidth="1" min="3" max="3"/>
    <col width="12" customWidth="1" min="4" max="4"/>
  </cols>
  <sheetData>
    <row r="1">
      <c r="A1" s="11" t="inlineStr">
        <is>
          <t>Seasonal discount campaigns — applied to the buyer's paid price</t>
        </is>
      </c>
    </row>
    <row r="2">
      <c r="A2" s="1" t="inlineStr">
        <is>
          <t>Campaign</t>
        </is>
      </c>
      <c r="B2" s="1" t="inlineStr">
        <is>
          <t>Period</t>
        </is>
      </c>
      <c r="C2" s="1" t="inlineStr">
        <is>
          <t>Brands on sale</t>
        </is>
      </c>
      <c r="D2" s="1" t="inlineStr">
        <is>
          <t>Discount</t>
        </is>
      </c>
    </row>
    <row r="3">
      <c r="A3" s="2" t="inlineStr">
        <is>
          <t>Pre-Pesach Sale</t>
        </is>
      </c>
      <c r="B3" s="2" t="inlineStr">
        <is>
          <t>06/04/2025 – 12/04/2025</t>
        </is>
      </c>
      <c r="C3" s="2" t="inlineStr">
        <is>
          <t>BMW, Lexus, Mercedes</t>
        </is>
      </c>
      <c r="D3" s="3" t="inlineStr">
        <is>
          <t>10%</t>
        </is>
      </c>
    </row>
    <row r="4">
      <c r="A4" s="5" t="inlineStr">
        <is>
          <t>Pre-Rosh Hashanah Sale</t>
        </is>
      </c>
      <c r="B4" s="5" t="inlineStr">
        <is>
          <t>16/09/2025 – 22/09/2025</t>
        </is>
      </c>
      <c r="C4" s="5" t="inlineStr">
        <is>
          <t>Acura, Bentley, Porsche</t>
        </is>
      </c>
      <c r="D4" s="6" t="inlineStr">
        <is>
          <t>8%</t>
        </is>
      </c>
    </row>
    <row r="5">
      <c r="A5" s="2" t="inlineStr">
        <is>
          <t>End-of-Year Clearance</t>
        </is>
      </c>
      <c r="B5" s="2" t="inlineStr">
        <is>
          <t>24/12/2025 – 30/12/2025</t>
        </is>
      </c>
      <c r="C5" s="2" t="inlineStr">
        <is>
          <t>BMW, Infinite, Jaguar, Mercedes</t>
        </is>
      </c>
      <c r="D5" s="3" t="inlineStr">
        <is>
          <t>12%</t>
        </is>
      </c>
    </row>
  </sheetData>
  <autoFilter ref="A2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2026-06-05T17:21:34Z</dcterms:created>
  <dcterms:modified xsi:type="dcterms:W3CDTF">2026-06-05T17:21:34Z</dcterms:modified>
</cp:coreProperties>
</file>