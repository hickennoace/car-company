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ummary by department" sheetId="2" state="visible" r:id="rId2"/>
  </sheets>
  <definedNames>
    <definedName name="_xlnm._FilterDatabase" localSheetId="0" hidden="1">'Workers'!$A$1:$I$61</definedName>
    <definedName name="_xlnm._FilterDatabase" localSheetId="1" hidden="1">'Summary by department'!$A$2:$H$6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₪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164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7" customWidth="1" min="3" max="3"/>
    <col width="16" customWidth="1" min="4" max="4"/>
    <col width="15" customWidth="1" min="5" max="5"/>
    <col width="16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Seniority (years)</t>
        </is>
      </c>
      <c r="G1" s="1" t="inlineStr">
        <is>
          <t>Salary (monthly)</t>
        </is>
      </c>
      <c r="H1" s="1" t="inlineStr">
        <is>
          <t>Bonuses (annual)</t>
        </is>
      </c>
      <c r="I1" s="1" t="inlineStr">
        <is>
          <t>Total paid (year)</t>
        </is>
      </c>
    </row>
    <row r="2">
      <c r="A2" s="2" t="inlineStr">
        <is>
          <t>Gilad Shapira</t>
        </is>
      </c>
      <c r="B2" s="3" t="inlineStr">
        <is>
          <t>Male</t>
        </is>
      </c>
      <c r="C2" s="3" t="n">
        <v>34</v>
      </c>
      <c r="D2" s="2" t="inlineStr">
        <is>
          <t>053-774-4919</t>
        </is>
      </c>
      <c r="E2" s="2" t="inlineStr">
        <is>
          <t>Service</t>
        </is>
      </c>
      <c r="F2" s="3" t="n">
        <v>4</v>
      </c>
      <c r="G2" s="4" t="n">
        <v>11700</v>
      </c>
      <c r="H2" s="4" t="n">
        <v>14000</v>
      </c>
      <c r="I2" s="4">
        <f>G2*12+H2</f>
        <v/>
      </c>
    </row>
    <row r="3">
      <c r="A3" s="5" t="inlineStr">
        <is>
          <t>Hila Dadon</t>
        </is>
      </c>
      <c r="B3" s="6" t="inlineStr">
        <is>
          <t>Female</t>
        </is>
      </c>
      <c r="C3" s="6" t="n">
        <v>54</v>
      </c>
      <c r="D3" s="5" t="inlineStr">
        <is>
          <t>054-361-6787</t>
        </is>
      </c>
      <c r="E3" s="5" t="inlineStr">
        <is>
          <t>Management</t>
        </is>
      </c>
      <c r="F3" s="6" t="n">
        <v>24</v>
      </c>
      <c r="G3" s="7" t="n">
        <v>35600</v>
      </c>
      <c r="H3" s="7" t="n">
        <v>71400</v>
      </c>
      <c r="I3" s="7">
        <f>G3*12+H3</f>
        <v/>
      </c>
    </row>
    <row r="4">
      <c r="A4" s="2" t="inlineStr">
        <is>
          <t>Hila Mizrahi</t>
        </is>
      </c>
      <c r="B4" s="3" t="inlineStr">
        <is>
          <t>Female</t>
        </is>
      </c>
      <c r="C4" s="3" t="n">
        <v>41</v>
      </c>
      <c r="D4" s="2" t="inlineStr">
        <is>
          <t>050-820-4053</t>
        </is>
      </c>
      <c r="E4" s="2" t="inlineStr">
        <is>
          <t>Service</t>
        </is>
      </c>
      <c r="F4" s="3" t="n">
        <v>10</v>
      </c>
      <c r="G4" s="4" t="n">
        <v>16300</v>
      </c>
      <c r="H4" s="4" t="n">
        <v>5600</v>
      </c>
      <c r="I4" s="4">
        <f>G4*12+H4</f>
        <v/>
      </c>
    </row>
    <row r="5">
      <c r="A5" s="5" t="inlineStr">
        <is>
          <t>Michal Katz</t>
        </is>
      </c>
      <c r="B5" s="6" t="inlineStr">
        <is>
          <t>Female</t>
        </is>
      </c>
      <c r="C5" s="6" t="n">
        <v>40</v>
      </c>
      <c r="D5" s="5" t="inlineStr">
        <is>
          <t>055-919-4656</t>
        </is>
      </c>
      <c r="E5" s="5" t="inlineStr">
        <is>
          <t>Maintenance</t>
        </is>
      </c>
      <c r="F5" s="6" t="n">
        <v>15</v>
      </c>
      <c r="G5" s="7" t="n">
        <v>14600</v>
      </c>
      <c r="H5" s="7" t="n">
        <v>8800</v>
      </c>
      <c r="I5" s="7">
        <f>G5*12+H5</f>
        <v/>
      </c>
    </row>
    <row r="6">
      <c r="A6" s="2" t="inlineStr">
        <is>
          <t>Nadav Moyal</t>
        </is>
      </c>
      <c r="B6" s="3" t="inlineStr">
        <is>
          <t>Male</t>
        </is>
      </c>
      <c r="C6" s="3" t="n">
        <v>54</v>
      </c>
      <c r="D6" s="2" t="inlineStr">
        <is>
          <t>052-160-6593</t>
        </is>
      </c>
      <c r="E6" s="2" t="inlineStr">
        <is>
          <t>Maintenance</t>
        </is>
      </c>
      <c r="F6" s="3" t="n">
        <v>6</v>
      </c>
      <c r="G6" s="4" t="n">
        <v>13200</v>
      </c>
      <c r="H6" s="4" t="n">
        <v>5400</v>
      </c>
      <c r="I6" s="4">
        <f>G6*12+H6</f>
        <v/>
      </c>
    </row>
    <row r="7">
      <c r="A7" s="5" t="inlineStr">
        <is>
          <t>Michal Naor</t>
        </is>
      </c>
      <c r="B7" s="6" t="inlineStr">
        <is>
          <t>Female</t>
        </is>
      </c>
      <c r="C7" s="6" t="n">
        <v>63</v>
      </c>
      <c r="D7" s="5" t="inlineStr">
        <is>
          <t>053-633-2887</t>
        </is>
      </c>
      <c r="E7" s="5" t="inlineStr">
        <is>
          <t>Sales</t>
        </is>
      </c>
      <c r="F7" s="6" t="n">
        <v>7</v>
      </c>
      <c r="G7" s="7" t="n">
        <v>11400</v>
      </c>
      <c r="H7" s="7" t="n">
        <v>37700</v>
      </c>
      <c r="I7" s="7">
        <f>G7*12+H7</f>
        <v/>
      </c>
    </row>
    <row r="8">
      <c r="A8" s="2" t="inlineStr">
        <is>
          <t>Bar Tal</t>
        </is>
      </c>
      <c r="B8" s="3" t="inlineStr">
        <is>
          <t>Male</t>
        </is>
      </c>
      <c r="C8" s="3" t="n">
        <v>33</v>
      </c>
      <c r="D8" s="2" t="inlineStr">
        <is>
          <t>052-727-8970</t>
        </is>
      </c>
      <c r="E8" s="2" t="inlineStr">
        <is>
          <t>Maintenance</t>
        </is>
      </c>
      <c r="F8" s="3" t="n">
        <v>0</v>
      </c>
      <c r="G8" s="4" t="n">
        <v>9700</v>
      </c>
      <c r="H8" s="4" t="n">
        <v>9500</v>
      </c>
      <c r="I8" s="4">
        <f>G8*12+H8</f>
        <v/>
      </c>
    </row>
    <row r="9">
      <c r="A9" s="5" t="inlineStr">
        <is>
          <t>Hadar Segal</t>
        </is>
      </c>
      <c r="B9" s="6" t="inlineStr">
        <is>
          <t>Female</t>
        </is>
      </c>
      <c r="C9" s="6" t="n">
        <v>48</v>
      </c>
      <c r="D9" s="5" t="inlineStr">
        <is>
          <t>050-749-1877</t>
        </is>
      </c>
      <c r="E9" s="5" t="inlineStr">
        <is>
          <t>Sales</t>
        </is>
      </c>
      <c r="F9" s="6" t="n">
        <v>2</v>
      </c>
      <c r="G9" s="7" t="n">
        <v>10300</v>
      </c>
      <c r="H9" s="7" t="n">
        <v>47300</v>
      </c>
      <c r="I9" s="7">
        <f>G9*12+H9</f>
        <v/>
      </c>
    </row>
    <row r="10">
      <c r="A10" s="2" t="inlineStr">
        <is>
          <t>Michal Mizrahi</t>
        </is>
      </c>
      <c r="B10" s="3" t="inlineStr">
        <is>
          <t>Female</t>
        </is>
      </c>
      <c r="C10" s="3" t="n">
        <v>55</v>
      </c>
      <c r="D10" s="2" t="inlineStr">
        <is>
          <t>053-110-8488</t>
        </is>
      </c>
      <c r="E10" s="2" t="inlineStr">
        <is>
          <t>Sales</t>
        </is>
      </c>
      <c r="F10" s="3" t="n">
        <v>3</v>
      </c>
      <c r="G10" s="4" t="n">
        <v>12400</v>
      </c>
      <c r="H10" s="4" t="n">
        <v>25800</v>
      </c>
      <c r="I10" s="4">
        <f>G10*12+H10</f>
        <v/>
      </c>
    </row>
    <row r="11">
      <c r="A11" s="5" t="inlineStr">
        <is>
          <t>Meital Segal</t>
        </is>
      </c>
      <c r="B11" s="6" t="inlineStr">
        <is>
          <t>Female</t>
        </is>
      </c>
      <c r="C11" s="6" t="n">
        <v>63</v>
      </c>
      <c r="D11" s="5" t="inlineStr">
        <is>
          <t>052-948-3095</t>
        </is>
      </c>
      <c r="E11" s="5" t="inlineStr">
        <is>
          <t>Maintenance</t>
        </is>
      </c>
      <c r="F11" s="6" t="n">
        <v>21</v>
      </c>
      <c r="G11" s="7" t="n">
        <v>18100</v>
      </c>
      <c r="H11" s="7" t="n">
        <v>16900</v>
      </c>
      <c r="I11" s="7">
        <f>G11*12+H11</f>
        <v/>
      </c>
    </row>
    <row r="12">
      <c r="A12" s="2" t="inlineStr">
        <is>
          <t>Nadav Naor</t>
        </is>
      </c>
      <c r="B12" s="3" t="inlineStr">
        <is>
          <t>Male</t>
        </is>
      </c>
      <c r="C12" s="3" t="n">
        <v>25</v>
      </c>
      <c r="D12" s="2" t="inlineStr">
        <is>
          <t>053-362-7176</t>
        </is>
      </c>
      <c r="E12" s="2" t="inlineStr">
        <is>
          <t>Maintenance</t>
        </is>
      </c>
      <c r="F12" s="3" t="n">
        <v>0</v>
      </c>
      <c r="G12" s="4" t="n">
        <v>9900</v>
      </c>
      <c r="H12" s="4" t="n">
        <v>7900</v>
      </c>
      <c r="I12" s="4">
        <f>G12*12+H12</f>
        <v/>
      </c>
    </row>
    <row r="13">
      <c r="A13" s="5" t="inlineStr">
        <is>
          <t>Noa Weiss</t>
        </is>
      </c>
      <c r="B13" s="6" t="inlineStr">
        <is>
          <t>Female</t>
        </is>
      </c>
      <c r="C13" s="6" t="n">
        <v>31</v>
      </c>
      <c r="D13" s="5" t="inlineStr">
        <is>
          <t>055-699-5203</t>
        </is>
      </c>
      <c r="E13" s="5" t="inlineStr">
        <is>
          <t>Service</t>
        </is>
      </c>
      <c r="F13" s="6" t="n">
        <v>1</v>
      </c>
      <c r="G13" s="7" t="n">
        <v>12700</v>
      </c>
      <c r="H13" s="7" t="n">
        <v>8900</v>
      </c>
      <c r="I13" s="7">
        <f>G13*12+H13</f>
        <v/>
      </c>
    </row>
    <row r="14">
      <c r="A14" s="2" t="inlineStr">
        <is>
          <t>Lihi Weiss</t>
        </is>
      </c>
      <c r="B14" s="3" t="inlineStr">
        <is>
          <t>Female</t>
        </is>
      </c>
      <c r="C14" s="3" t="n">
        <v>40</v>
      </c>
      <c r="D14" s="2" t="inlineStr">
        <is>
          <t>053-577-3403</t>
        </is>
      </c>
      <c r="E14" s="2" t="inlineStr">
        <is>
          <t>Maintenance</t>
        </is>
      </c>
      <c r="F14" s="3" t="n">
        <v>14</v>
      </c>
      <c r="G14" s="4" t="n">
        <v>15100</v>
      </c>
      <c r="H14" s="4" t="n">
        <v>13900</v>
      </c>
      <c r="I14" s="4">
        <f>G14*12+H14</f>
        <v/>
      </c>
    </row>
    <row r="15">
      <c r="A15" s="5" t="inlineStr">
        <is>
          <t>Ariel Moyal</t>
        </is>
      </c>
      <c r="B15" s="6" t="inlineStr">
        <is>
          <t>Male</t>
        </is>
      </c>
      <c r="C15" s="6" t="n">
        <v>39</v>
      </c>
      <c r="D15" s="5" t="inlineStr">
        <is>
          <t>054-956-6910</t>
        </is>
      </c>
      <c r="E15" s="5" t="inlineStr">
        <is>
          <t>Maintenance</t>
        </is>
      </c>
      <c r="F15" s="6" t="n">
        <v>9</v>
      </c>
      <c r="G15" s="7" t="n">
        <v>13200</v>
      </c>
      <c r="H15" s="7" t="n">
        <v>7300</v>
      </c>
      <c r="I15" s="7">
        <f>G15*12+H15</f>
        <v/>
      </c>
    </row>
    <row r="16">
      <c r="A16" s="2" t="inlineStr">
        <is>
          <t>Romi Harel</t>
        </is>
      </c>
      <c r="B16" s="3" t="inlineStr">
        <is>
          <t>Female</t>
        </is>
      </c>
      <c r="C16" s="3" t="n">
        <v>39</v>
      </c>
      <c r="D16" s="2" t="inlineStr">
        <is>
          <t>050-993-5644</t>
        </is>
      </c>
      <c r="E16" s="2" t="inlineStr">
        <is>
          <t>Maintenance</t>
        </is>
      </c>
      <c r="F16" s="3" t="n">
        <v>8</v>
      </c>
      <c r="G16" s="4" t="n">
        <v>14900</v>
      </c>
      <c r="H16" s="4" t="n">
        <v>11600</v>
      </c>
      <c r="I16" s="4">
        <f>G16*12+H16</f>
        <v/>
      </c>
    </row>
    <row r="17">
      <c r="A17" s="5" t="inlineStr">
        <is>
          <t>Stav Vaknin</t>
        </is>
      </c>
      <c r="B17" s="6" t="inlineStr">
        <is>
          <t>Female</t>
        </is>
      </c>
      <c r="C17" s="6" t="n">
        <v>49</v>
      </c>
      <c r="D17" s="5" t="inlineStr">
        <is>
          <t>055-169-5790</t>
        </is>
      </c>
      <c r="E17" s="5" t="inlineStr">
        <is>
          <t>Maintenance</t>
        </is>
      </c>
      <c r="F17" s="6" t="n">
        <v>11</v>
      </c>
      <c r="G17" s="7" t="n">
        <v>16800</v>
      </c>
      <c r="H17" s="7" t="n">
        <v>12100</v>
      </c>
      <c r="I17" s="7">
        <f>G17*12+H17</f>
        <v/>
      </c>
    </row>
    <row r="18">
      <c r="A18" s="2" t="inlineStr">
        <is>
          <t>Michal Tzur</t>
        </is>
      </c>
      <c r="B18" s="3" t="inlineStr">
        <is>
          <t>Female</t>
        </is>
      </c>
      <c r="C18" s="3" t="n">
        <v>31</v>
      </c>
      <c r="D18" s="2" t="inlineStr">
        <is>
          <t>058-916-7453</t>
        </is>
      </c>
      <c r="E18" s="2" t="inlineStr">
        <is>
          <t>Maintenance</t>
        </is>
      </c>
      <c r="F18" s="3" t="n">
        <v>8</v>
      </c>
      <c r="G18" s="4" t="n">
        <v>16000</v>
      </c>
      <c r="H18" s="4" t="n">
        <v>15800</v>
      </c>
      <c r="I18" s="4">
        <f>G18*12+H18</f>
        <v/>
      </c>
    </row>
    <row r="19">
      <c r="A19" s="5" t="inlineStr">
        <is>
          <t>Lital Tzur</t>
        </is>
      </c>
      <c r="B19" s="6" t="inlineStr">
        <is>
          <t>Female</t>
        </is>
      </c>
      <c r="C19" s="6" t="n">
        <v>24</v>
      </c>
      <c r="D19" s="5" t="inlineStr">
        <is>
          <t>052-184-8793</t>
        </is>
      </c>
      <c r="E19" s="5" t="inlineStr">
        <is>
          <t>Service</t>
        </is>
      </c>
      <c r="F19" s="6" t="n">
        <v>1</v>
      </c>
      <c r="G19" s="7" t="n">
        <v>8600</v>
      </c>
      <c r="H19" s="7" t="n">
        <v>8300</v>
      </c>
      <c r="I19" s="7">
        <f>G19*12+H19</f>
        <v/>
      </c>
    </row>
    <row r="20">
      <c r="A20" s="2" t="inlineStr">
        <is>
          <t>Dana Biton</t>
        </is>
      </c>
      <c r="B20" s="3" t="inlineStr">
        <is>
          <t>Female</t>
        </is>
      </c>
      <c r="C20" s="3" t="n">
        <v>38</v>
      </c>
      <c r="D20" s="2" t="inlineStr">
        <is>
          <t>058-723-9179</t>
        </is>
      </c>
      <c r="E20" s="2" t="inlineStr">
        <is>
          <t>Service</t>
        </is>
      </c>
      <c r="F20" s="3" t="n">
        <v>3</v>
      </c>
      <c r="G20" s="4" t="n">
        <v>10900</v>
      </c>
      <c r="H20" s="4" t="n">
        <v>12200</v>
      </c>
      <c r="I20" s="4">
        <f>G20*12+H20</f>
        <v/>
      </c>
    </row>
    <row r="21">
      <c r="A21" s="5" t="inlineStr">
        <is>
          <t>Stav Rosen</t>
        </is>
      </c>
      <c r="B21" s="6" t="inlineStr">
        <is>
          <t>Female</t>
        </is>
      </c>
      <c r="C21" s="6" t="n">
        <v>37</v>
      </c>
      <c r="D21" s="5" t="inlineStr">
        <is>
          <t>052-866-8230</t>
        </is>
      </c>
      <c r="E21" s="5" t="inlineStr">
        <is>
          <t>Maintenance</t>
        </is>
      </c>
      <c r="F21" s="6" t="n">
        <v>15</v>
      </c>
      <c r="G21" s="7" t="n">
        <v>18200</v>
      </c>
      <c r="H21" s="7" t="n">
        <v>17300</v>
      </c>
      <c r="I21" s="7">
        <f>G21*12+H21</f>
        <v/>
      </c>
    </row>
    <row r="22">
      <c r="A22" s="2" t="inlineStr">
        <is>
          <t>Eyal Hadad</t>
        </is>
      </c>
      <c r="B22" s="3" t="inlineStr">
        <is>
          <t>Male</t>
        </is>
      </c>
      <c r="C22" s="3" t="n">
        <v>32</v>
      </c>
      <c r="D22" s="2" t="inlineStr">
        <is>
          <t>050-833-4335</t>
        </is>
      </c>
      <c r="E22" s="2" t="inlineStr">
        <is>
          <t>Sales</t>
        </is>
      </c>
      <c r="F22" s="3" t="n">
        <v>1</v>
      </c>
      <c r="G22" s="4" t="n">
        <v>9000</v>
      </c>
      <c r="H22" s="4" t="n">
        <v>36900</v>
      </c>
      <c r="I22" s="4">
        <f>G22*12+H22</f>
        <v/>
      </c>
    </row>
    <row r="23">
      <c r="A23" s="5" t="inlineStr">
        <is>
          <t>Ido Avraham</t>
        </is>
      </c>
      <c r="B23" s="6" t="inlineStr">
        <is>
          <t>Male</t>
        </is>
      </c>
      <c r="C23" s="6" t="n">
        <v>34</v>
      </c>
      <c r="D23" s="5" t="inlineStr">
        <is>
          <t>054-249-1713</t>
        </is>
      </c>
      <c r="E23" s="5" t="inlineStr">
        <is>
          <t>Sales</t>
        </is>
      </c>
      <c r="F23" s="6" t="n">
        <v>2</v>
      </c>
      <c r="G23" s="7" t="n">
        <v>9400</v>
      </c>
      <c r="H23" s="7" t="n">
        <v>31800</v>
      </c>
      <c r="I23" s="7">
        <f>G23*12+H23</f>
        <v/>
      </c>
    </row>
    <row r="24">
      <c r="A24" s="2" t="inlineStr">
        <is>
          <t>Avigail Biton</t>
        </is>
      </c>
      <c r="B24" s="3" t="inlineStr">
        <is>
          <t>Female</t>
        </is>
      </c>
      <c r="C24" s="3" t="n">
        <v>61</v>
      </c>
      <c r="D24" s="2" t="inlineStr">
        <is>
          <t>050-790-1851</t>
        </is>
      </c>
      <c r="E24" s="2" t="inlineStr">
        <is>
          <t>Management</t>
        </is>
      </c>
      <c r="F24" s="3" t="n">
        <v>6</v>
      </c>
      <c r="G24" s="4" t="n">
        <v>33600</v>
      </c>
      <c r="H24" s="4" t="n">
        <v>76000</v>
      </c>
      <c r="I24" s="4">
        <f>G24*12+H24</f>
        <v/>
      </c>
    </row>
    <row r="25">
      <c r="A25" s="5" t="inlineStr">
        <is>
          <t>Ortal Azoulay</t>
        </is>
      </c>
      <c r="B25" s="6" t="inlineStr">
        <is>
          <t>Female</t>
        </is>
      </c>
      <c r="C25" s="6" t="n">
        <v>38</v>
      </c>
      <c r="D25" s="5" t="inlineStr">
        <is>
          <t>054-314-4704</t>
        </is>
      </c>
      <c r="E25" s="5" t="inlineStr">
        <is>
          <t>Maintenance</t>
        </is>
      </c>
      <c r="F25" s="6" t="n">
        <v>17</v>
      </c>
      <c r="G25" s="7" t="n">
        <v>19500</v>
      </c>
      <c r="H25" s="7" t="n">
        <v>18200</v>
      </c>
      <c r="I25" s="7">
        <f>G25*12+H25</f>
        <v/>
      </c>
    </row>
    <row r="26">
      <c r="A26" s="2" t="inlineStr">
        <is>
          <t>Michal Avraham</t>
        </is>
      </c>
      <c r="B26" s="3" t="inlineStr">
        <is>
          <t>Female</t>
        </is>
      </c>
      <c r="C26" s="3" t="n">
        <v>23</v>
      </c>
      <c r="D26" s="2" t="inlineStr">
        <is>
          <t>054-474-6838</t>
        </is>
      </c>
      <c r="E26" s="2" t="inlineStr">
        <is>
          <t>Management</t>
        </is>
      </c>
      <c r="F26" s="3" t="n">
        <v>2</v>
      </c>
      <c r="G26" s="4" t="n">
        <v>21800</v>
      </c>
      <c r="H26" s="4" t="n">
        <v>77700</v>
      </c>
      <c r="I26" s="4">
        <f>G26*12+H26</f>
        <v/>
      </c>
    </row>
    <row r="27">
      <c r="A27" s="5" t="inlineStr">
        <is>
          <t>Bar Shaulov</t>
        </is>
      </c>
      <c r="B27" s="6" t="inlineStr">
        <is>
          <t>Male</t>
        </is>
      </c>
      <c r="C27" s="6" t="n">
        <v>33</v>
      </c>
      <c r="D27" s="5" t="inlineStr">
        <is>
          <t>053-202-1998</t>
        </is>
      </c>
      <c r="E27" s="5" t="inlineStr">
        <is>
          <t>Service</t>
        </is>
      </c>
      <c r="F27" s="6" t="n">
        <v>8</v>
      </c>
      <c r="G27" s="7" t="n">
        <v>15700</v>
      </c>
      <c r="H27" s="7" t="n">
        <v>10700</v>
      </c>
      <c r="I27" s="7">
        <f>G27*12+H27</f>
        <v/>
      </c>
    </row>
    <row r="28">
      <c r="A28" s="2" t="inlineStr">
        <is>
          <t>Adi Rosen</t>
        </is>
      </c>
      <c r="B28" s="3" t="inlineStr">
        <is>
          <t>Female</t>
        </is>
      </c>
      <c r="C28" s="3" t="n">
        <v>30</v>
      </c>
      <c r="D28" s="2" t="inlineStr">
        <is>
          <t>055-222-9141</t>
        </is>
      </c>
      <c r="E28" s="2" t="inlineStr">
        <is>
          <t>Service</t>
        </is>
      </c>
      <c r="F28" s="3" t="n">
        <v>9</v>
      </c>
      <c r="G28" s="4" t="n">
        <v>13400</v>
      </c>
      <c r="H28" s="4" t="n">
        <v>8900</v>
      </c>
      <c r="I28" s="4">
        <f>G28*12+H28</f>
        <v/>
      </c>
    </row>
    <row r="29">
      <c r="A29" s="5" t="inlineStr">
        <is>
          <t>Ariel Katz</t>
        </is>
      </c>
      <c r="B29" s="6" t="inlineStr">
        <is>
          <t>Male</t>
        </is>
      </c>
      <c r="C29" s="6" t="n">
        <v>23</v>
      </c>
      <c r="D29" s="5" t="inlineStr">
        <is>
          <t>055-863-6229</t>
        </is>
      </c>
      <c r="E29" s="5" t="inlineStr">
        <is>
          <t>Management</t>
        </is>
      </c>
      <c r="F29" s="6" t="n">
        <v>0</v>
      </c>
      <c r="G29" s="7" t="n">
        <v>21300</v>
      </c>
      <c r="H29" s="7" t="n">
        <v>73100</v>
      </c>
      <c r="I29" s="7">
        <f>G29*12+H29</f>
        <v/>
      </c>
    </row>
    <row r="30">
      <c r="A30" s="2" t="inlineStr">
        <is>
          <t>Inbal Vaknin</t>
        </is>
      </c>
      <c r="B30" s="3" t="inlineStr">
        <is>
          <t>Female</t>
        </is>
      </c>
      <c r="C30" s="3" t="n">
        <v>35</v>
      </c>
      <c r="D30" s="2" t="inlineStr">
        <is>
          <t>058-201-8287</t>
        </is>
      </c>
      <c r="E30" s="2" t="inlineStr">
        <is>
          <t>Sales</t>
        </is>
      </c>
      <c r="F30" s="3" t="n">
        <v>9</v>
      </c>
      <c r="G30" s="4" t="n">
        <v>13900</v>
      </c>
      <c r="H30" s="4" t="n">
        <v>56800</v>
      </c>
      <c r="I30" s="4">
        <f>G30*12+H30</f>
        <v/>
      </c>
    </row>
    <row r="31">
      <c r="A31" s="5" t="inlineStr">
        <is>
          <t>Daniel Amar</t>
        </is>
      </c>
      <c r="B31" s="6" t="inlineStr">
        <is>
          <t>Male</t>
        </is>
      </c>
      <c r="C31" s="6" t="n">
        <v>26</v>
      </c>
      <c r="D31" s="5" t="inlineStr">
        <is>
          <t>053-251-5538</t>
        </is>
      </c>
      <c r="E31" s="5" t="inlineStr">
        <is>
          <t>Service</t>
        </is>
      </c>
      <c r="F31" s="6" t="n">
        <v>4</v>
      </c>
      <c r="G31" s="7" t="n">
        <v>11200</v>
      </c>
      <c r="H31" s="7" t="n">
        <v>7900</v>
      </c>
      <c r="I31" s="7">
        <f>G31*12+H31</f>
        <v/>
      </c>
    </row>
    <row r="32">
      <c r="A32" s="2" t="inlineStr">
        <is>
          <t>Omer Levi</t>
        </is>
      </c>
      <c r="B32" s="3" t="inlineStr">
        <is>
          <t>Male</t>
        </is>
      </c>
      <c r="C32" s="3" t="n">
        <v>62</v>
      </c>
      <c r="D32" s="2" t="inlineStr">
        <is>
          <t>050-485-4157</t>
        </is>
      </c>
      <c r="E32" s="2" t="inlineStr">
        <is>
          <t>Maintenance</t>
        </is>
      </c>
      <c r="F32" s="3" t="n">
        <v>21</v>
      </c>
      <c r="G32" s="4" t="n">
        <v>20100</v>
      </c>
      <c r="H32" s="4" t="n">
        <v>12500</v>
      </c>
      <c r="I32" s="4">
        <f>G32*12+H32</f>
        <v/>
      </c>
    </row>
    <row r="33">
      <c r="A33" s="5" t="inlineStr">
        <is>
          <t>Gal Segal</t>
        </is>
      </c>
      <c r="B33" s="6" t="inlineStr">
        <is>
          <t>Male</t>
        </is>
      </c>
      <c r="C33" s="6" t="n">
        <v>37</v>
      </c>
      <c r="D33" s="5" t="inlineStr">
        <is>
          <t>054-883-3796</t>
        </is>
      </c>
      <c r="E33" s="5" t="inlineStr">
        <is>
          <t>Sales</t>
        </is>
      </c>
      <c r="F33" s="6" t="n">
        <v>16</v>
      </c>
      <c r="G33" s="7" t="n">
        <v>16300</v>
      </c>
      <c r="H33" s="7" t="n">
        <v>86700</v>
      </c>
      <c r="I33" s="7">
        <f>G33*12+H33</f>
        <v/>
      </c>
    </row>
    <row r="34">
      <c r="A34" s="2" t="inlineStr">
        <is>
          <t>Stav Elbaz</t>
        </is>
      </c>
      <c r="B34" s="3" t="inlineStr">
        <is>
          <t>Female</t>
        </is>
      </c>
      <c r="C34" s="3" t="n">
        <v>55</v>
      </c>
      <c r="D34" s="2" t="inlineStr">
        <is>
          <t>054-221-3217</t>
        </is>
      </c>
      <c r="E34" s="2" t="inlineStr">
        <is>
          <t>Sales</t>
        </is>
      </c>
      <c r="F34" s="3" t="n">
        <v>18</v>
      </c>
      <c r="G34" s="4" t="n">
        <v>17300</v>
      </c>
      <c r="H34" s="4" t="n">
        <v>26000</v>
      </c>
      <c r="I34" s="4">
        <f>G34*12+H34</f>
        <v/>
      </c>
    </row>
    <row r="35">
      <c r="A35" s="5" t="inlineStr">
        <is>
          <t>Lior Eliyahu</t>
        </is>
      </c>
      <c r="B35" s="6" t="inlineStr">
        <is>
          <t>Male</t>
        </is>
      </c>
      <c r="C35" s="6" t="n">
        <v>54</v>
      </c>
      <c r="D35" s="5" t="inlineStr">
        <is>
          <t>055-179-1816</t>
        </is>
      </c>
      <c r="E35" s="5" t="inlineStr">
        <is>
          <t>Maintenance</t>
        </is>
      </c>
      <c r="F35" s="6" t="n">
        <v>17</v>
      </c>
      <c r="G35" s="7" t="n">
        <v>19800</v>
      </c>
      <c r="H35" s="7" t="n">
        <v>16700</v>
      </c>
      <c r="I35" s="7">
        <f>G35*12+H35</f>
        <v/>
      </c>
    </row>
    <row r="36">
      <c r="A36" s="2" t="inlineStr">
        <is>
          <t>Tal Friedman</t>
        </is>
      </c>
      <c r="B36" s="3" t="inlineStr">
        <is>
          <t>Male</t>
        </is>
      </c>
      <c r="C36" s="3" t="n">
        <v>59</v>
      </c>
      <c r="D36" s="2" t="inlineStr">
        <is>
          <t>052-387-5765</t>
        </is>
      </c>
      <c r="E36" s="2" t="inlineStr">
        <is>
          <t>Service</t>
        </is>
      </c>
      <c r="F36" s="3" t="n">
        <v>21</v>
      </c>
      <c r="G36" s="4" t="n">
        <v>16800</v>
      </c>
      <c r="H36" s="4" t="n">
        <v>19100</v>
      </c>
      <c r="I36" s="4">
        <f>G36*12+H36</f>
        <v/>
      </c>
    </row>
    <row r="37">
      <c r="A37" s="5" t="inlineStr">
        <is>
          <t>Sivan Mizrahi</t>
        </is>
      </c>
      <c r="B37" s="6" t="inlineStr">
        <is>
          <t>Female</t>
        </is>
      </c>
      <c r="C37" s="6" t="n">
        <v>51</v>
      </c>
      <c r="D37" s="5" t="inlineStr">
        <is>
          <t>053-246-9854</t>
        </is>
      </c>
      <c r="E37" s="5" t="inlineStr">
        <is>
          <t>Sales</t>
        </is>
      </c>
      <c r="F37" s="6" t="n">
        <v>18</v>
      </c>
      <c r="G37" s="7" t="n">
        <v>16900</v>
      </c>
      <c r="H37" s="7" t="n">
        <v>30900</v>
      </c>
      <c r="I37" s="7">
        <f>G37*12+H37</f>
        <v/>
      </c>
    </row>
    <row r="38">
      <c r="A38" s="2" t="inlineStr">
        <is>
          <t>Eitan Dahan</t>
        </is>
      </c>
      <c r="B38" s="3" t="inlineStr">
        <is>
          <t>Male</t>
        </is>
      </c>
      <c r="C38" s="3" t="n">
        <v>59</v>
      </c>
      <c r="D38" s="2" t="inlineStr">
        <is>
          <t>050-536-7646</t>
        </is>
      </c>
      <c r="E38" s="2" t="inlineStr">
        <is>
          <t>Management</t>
        </is>
      </c>
      <c r="F38" s="3" t="n">
        <v>16</v>
      </c>
      <c r="G38" s="4" t="n">
        <v>33000</v>
      </c>
      <c r="H38" s="4" t="n">
        <v>87600</v>
      </c>
      <c r="I38" s="4">
        <f>G38*12+H38</f>
        <v/>
      </c>
    </row>
    <row r="39">
      <c r="A39" s="5" t="inlineStr">
        <is>
          <t>Yael Avraham</t>
        </is>
      </c>
      <c r="B39" s="6" t="inlineStr">
        <is>
          <t>Female</t>
        </is>
      </c>
      <c r="C39" s="6" t="n">
        <v>57</v>
      </c>
      <c r="D39" s="5" t="inlineStr">
        <is>
          <t>050-869-3358</t>
        </is>
      </c>
      <c r="E39" s="5" t="inlineStr">
        <is>
          <t>Sales</t>
        </is>
      </c>
      <c r="F39" s="6" t="n">
        <v>11</v>
      </c>
      <c r="G39" s="7" t="n">
        <v>13000</v>
      </c>
      <c r="H39" s="7" t="n">
        <v>45800</v>
      </c>
      <c r="I39" s="7">
        <f>G39*12+H39</f>
        <v/>
      </c>
    </row>
    <row r="40">
      <c r="A40" s="2" t="inlineStr">
        <is>
          <t>Orly Sasson</t>
        </is>
      </c>
      <c r="B40" s="3" t="inlineStr">
        <is>
          <t>Female</t>
        </is>
      </c>
      <c r="C40" s="3" t="n">
        <v>26</v>
      </c>
      <c r="D40" s="2" t="inlineStr">
        <is>
          <t>054-240-6562</t>
        </is>
      </c>
      <c r="E40" s="2" t="inlineStr">
        <is>
          <t>Sales</t>
        </is>
      </c>
      <c r="F40" s="3" t="n">
        <v>1</v>
      </c>
      <c r="G40" s="4" t="n">
        <v>9300</v>
      </c>
      <c r="H40" s="4" t="n">
        <v>22000</v>
      </c>
      <c r="I40" s="4">
        <f>G40*12+H40</f>
        <v/>
      </c>
    </row>
    <row r="41">
      <c r="A41" s="5" t="inlineStr">
        <is>
          <t>Hadar Dahan</t>
        </is>
      </c>
      <c r="B41" s="6" t="inlineStr">
        <is>
          <t>Female</t>
        </is>
      </c>
      <c r="C41" s="6" t="n">
        <v>24</v>
      </c>
      <c r="D41" s="5" t="inlineStr">
        <is>
          <t>054-868-9805</t>
        </is>
      </c>
      <c r="E41" s="5" t="inlineStr">
        <is>
          <t>Service</t>
        </is>
      </c>
      <c r="F41" s="6" t="n">
        <v>0</v>
      </c>
      <c r="G41" s="7" t="n">
        <v>9800</v>
      </c>
      <c r="H41" s="7" t="n">
        <v>10300</v>
      </c>
      <c r="I41" s="7">
        <f>G41*12+H41</f>
        <v/>
      </c>
    </row>
    <row r="42">
      <c r="A42" s="2" t="inlineStr">
        <is>
          <t>Chen Vaknin</t>
        </is>
      </c>
      <c r="B42" s="3" t="inlineStr">
        <is>
          <t>Female</t>
        </is>
      </c>
      <c r="C42" s="3" t="n">
        <v>38</v>
      </c>
      <c r="D42" s="2" t="inlineStr">
        <is>
          <t>053-978-8389</t>
        </is>
      </c>
      <c r="E42" s="2" t="inlineStr">
        <is>
          <t>Maintenance</t>
        </is>
      </c>
      <c r="F42" s="3" t="n">
        <v>15</v>
      </c>
      <c r="G42" s="4" t="n">
        <v>16200</v>
      </c>
      <c r="H42" s="4" t="n">
        <v>18800</v>
      </c>
      <c r="I42" s="4">
        <f>G42*12+H42</f>
        <v/>
      </c>
    </row>
    <row r="43">
      <c r="A43" s="5" t="inlineStr">
        <is>
          <t>Uri Amar</t>
        </is>
      </c>
      <c r="B43" s="6" t="inlineStr">
        <is>
          <t>Male</t>
        </is>
      </c>
      <c r="C43" s="6" t="n">
        <v>46</v>
      </c>
      <c r="D43" s="5" t="inlineStr">
        <is>
          <t>050-280-2755</t>
        </is>
      </c>
      <c r="E43" s="5" t="inlineStr">
        <is>
          <t>Management</t>
        </is>
      </c>
      <c r="F43" s="6" t="n">
        <v>12</v>
      </c>
      <c r="G43" s="7" t="n">
        <v>25900</v>
      </c>
      <c r="H43" s="7" t="n">
        <v>127900</v>
      </c>
      <c r="I43" s="7">
        <f>G43*12+H43</f>
        <v/>
      </c>
    </row>
    <row r="44">
      <c r="A44" s="2" t="inlineStr">
        <is>
          <t>Noam Shemesh</t>
        </is>
      </c>
      <c r="B44" s="3" t="inlineStr">
        <is>
          <t>Male</t>
        </is>
      </c>
      <c r="C44" s="3" t="n">
        <v>33</v>
      </c>
      <c r="D44" s="2" t="inlineStr">
        <is>
          <t>052-438-2854</t>
        </is>
      </c>
      <c r="E44" s="2" t="inlineStr">
        <is>
          <t>Sales</t>
        </is>
      </c>
      <c r="F44" s="3" t="n">
        <v>3</v>
      </c>
      <c r="G44" s="4" t="n">
        <v>12500</v>
      </c>
      <c r="H44" s="4" t="n">
        <v>50300</v>
      </c>
      <c r="I44" s="4">
        <f>G44*12+H44</f>
        <v/>
      </c>
    </row>
    <row r="45">
      <c r="A45" s="5" t="inlineStr">
        <is>
          <t>Gal Dadon</t>
        </is>
      </c>
      <c r="B45" s="6" t="inlineStr">
        <is>
          <t>Male</t>
        </is>
      </c>
      <c r="C45" s="6" t="n">
        <v>56</v>
      </c>
      <c r="D45" s="5" t="inlineStr">
        <is>
          <t>050-257-7236</t>
        </is>
      </c>
      <c r="E45" s="5" t="inlineStr">
        <is>
          <t>Service</t>
        </is>
      </c>
      <c r="F45" s="6" t="n">
        <v>23</v>
      </c>
      <c r="G45" s="7" t="n">
        <v>17700</v>
      </c>
      <c r="H45" s="7" t="n">
        <v>9200</v>
      </c>
      <c r="I45" s="7">
        <f>G45*12+H45</f>
        <v/>
      </c>
    </row>
    <row r="46">
      <c r="A46" s="2" t="inlineStr">
        <is>
          <t>Dor Bar-On</t>
        </is>
      </c>
      <c r="B46" s="3" t="inlineStr">
        <is>
          <t>Male</t>
        </is>
      </c>
      <c r="C46" s="3" t="n">
        <v>24</v>
      </c>
      <c r="D46" s="2" t="inlineStr">
        <is>
          <t>058-401-3857</t>
        </is>
      </c>
      <c r="E46" s="2" t="inlineStr">
        <is>
          <t>Sales</t>
        </is>
      </c>
      <c r="F46" s="3" t="n">
        <v>3</v>
      </c>
      <c r="G46" s="4" t="n">
        <v>12300</v>
      </c>
      <c r="H46" s="4" t="n">
        <v>48800</v>
      </c>
      <c r="I46" s="4">
        <f>G46*12+H46</f>
        <v/>
      </c>
    </row>
    <row r="47">
      <c r="A47" s="5" t="inlineStr">
        <is>
          <t>Michal Shapira</t>
        </is>
      </c>
      <c r="B47" s="6" t="inlineStr">
        <is>
          <t>Female</t>
        </is>
      </c>
      <c r="C47" s="6" t="n">
        <v>59</v>
      </c>
      <c r="D47" s="5" t="inlineStr">
        <is>
          <t>053-936-5564</t>
        </is>
      </c>
      <c r="E47" s="5" t="inlineStr">
        <is>
          <t>Sales</t>
        </is>
      </c>
      <c r="F47" s="6" t="n">
        <v>9</v>
      </c>
      <c r="G47" s="7" t="n">
        <v>14600</v>
      </c>
      <c r="H47" s="7" t="n">
        <v>51800</v>
      </c>
      <c r="I47" s="7">
        <f>G47*12+H47</f>
        <v/>
      </c>
    </row>
    <row r="48">
      <c r="A48" s="2" t="inlineStr">
        <is>
          <t>Lital Shaulov</t>
        </is>
      </c>
      <c r="B48" s="3" t="inlineStr">
        <is>
          <t>Female</t>
        </is>
      </c>
      <c r="C48" s="3" t="n">
        <v>27</v>
      </c>
      <c r="D48" s="2" t="inlineStr">
        <is>
          <t>053-709-1877</t>
        </is>
      </c>
      <c r="E48" s="2" t="inlineStr">
        <is>
          <t>Management</t>
        </is>
      </c>
      <c r="F48" s="3" t="n">
        <v>0</v>
      </c>
      <c r="G48" s="4" t="n">
        <v>22900</v>
      </c>
      <c r="H48" s="4" t="n">
        <v>54300</v>
      </c>
      <c r="I48" s="4">
        <f>G48*12+H48</f>
        <v/>
      </c>
    </row>
    <row r="49">
      <c r="A49" s="5" t="inlineStr">
        <is>
          <t>Maor Naor</t>
        </is>
      </c>
      <c r="B49" s="6" t="inlineStr">
        <is>
          <t>Male</t>
        </is>
      </c>
      <c r="C49" s="6" t="n">
        <v>37</v>
      </c>
      <c r="D49" s="5" t="inlineStr">
        <is>
          <t>054-263-5188</t>
        </is>
      </c>
      <c r="E49" s="5" t="inlineStr">
        <is>
          <t>Sales</t>
        </is>
      </c>
      <c r="F49" s="6" t="n">
        <v>9</v>
      </c>
      <c r="G49" s="7" t="n">
        <v>11800</v>
      </c>
      <c r="H49" s="7" t="n">
        <v>36000</v>
      </c>
      <c r="I49" s="7">
        <f>G49*12+H49</f>
        <v/>
      </c>
    </row>
    <row r="50">
      <c r="A50" s="2" t="inlineStr">
        <is>
          <t>Meital Bar-On</t>
        </is>
      </c>
      <c r="B50" s="3" t="inlineStr">
        <is>
          <t>Female</t>
        </is>
      </c>
      <c r="C50" s="3" t="n">
        <v>47</v>
      </c>
      <c r="D50" s="2" t="inlineStr">
        <is>
          <t>058-593-7387</t>
        </is>
      </c>
      <c r="E50" s="2" t="inlineStr">
        <is>
          <t>Maintenance</t>
        </is>
      </c>
      <c r="F50" s="3" t="n">
        <v>4</v>
      </c>
      <c r="G50" s="4" t="n">
        <v>11800</v>
      </c>
      <c r="H50" s="4" t="n">
        <v>12000</v>
      </c>
      <c r="I50" s="4">
        <f>G50*12+H50</f>
        <v/>
      </c>
    </row>
    <row r="51">
      <c r="A51" s="5" t="inlineStr">
        <is>
          <t>Erez Vaknin</t>
        </is>
      </c>
      <c r="B51" s="6" t="inlineStr">
        <is>
          <t>Male</t>
        </is>
      </c>
      <c r="C51" s="6" t="n">
        <v>51</v>
      </c>
      <c r="D51" s="5" t="inlineStr">
        <is>
          <t>052-874-3339</t>
        </is>
      </c>
      <c r="E51" s="5" t="inlineStr">
        <is>
          <t>Maintenance</t>
        </is>
      </c>
      <c r="F51" s="6" t="n">
        <v>8</v>
      </c>
      <c r="G51" s="7" t="n">
        <v>14700</v>
      </c>
      <c r="H51" s="7" t="n">
        <v>11800</v>
      </c>
      <c r="I51" s="7">
        <f>G51*12+H51</f>
        <v/>
      </c>
    </row>
    <row r="52">
      <c r="A52" s="2" t="inlineStr">
        <is>
          <t>Michal Mizrahi</t>
        </is>
      </c>
      <c r="B52" s="3" t="inlineStr">
        <is>
          <t>Female</t>
        </is>
      </c>
      <c r="C52" s="3" t="n">
        <v>46</v>
      </c>
      <c r="D52" s="2" t="inlineStr">
        <is>
          <t>053-395-8371</t>
        </is>
      </c>
      <c r="E52" s="2" t="inlineStr">
        <is>
          <t>Maintenance</t>
        </is>
      </c>
      <c r="F52" s="3" t="n">
        <v>13</v>
      </c>
      <c r="G52" s="4" t="n">
        <v>15700</v>
      </c>
      <c r="H52" s="4" t="n">
        <v>8900</v>
      </c>
      <c r="I52" s="4">
        <f>G52*12+H52</f>
        <v/>
      </c>
    </row>
    <row r="53">
      <c r="A53" s="5" t="inlineStr">
        <is>
          <t>Maor Amar</t>
        </is>
      </c>
      <c r="B53" s="6" t="inlineStr">
        <is>
          <t>Male</t>
        </is>
      </c>
      <c r="C53" s="6" t="n">
        <v>37</v>
      </c>
      <c r="D53" s="5" t="inlineStr">
        <is>
          <t>058-293-5752</t>
        </is>
      </c>
      <c r="E53" s="5" t="inlineStr">
        <is>
          <t>Management</t>
        </is>
      </c>
      <c r="F53" s="6" t="n">
        <v>12</v>
      </c>
      <c r="G53" s="7" t="n">
        <v>22900</v>
      </c>
      <c r="H53" s="7" t="n">
        <v>111800</v>
      </c>
      <c r="I53" s="7">
        <f>G53*12+H53</f>
        <v/>
      </c>
    </row>
    <row r="54">
      <c r="A54" s="2" t="inlineStr">
        <is>
          <t>Romi Biton</t>
        </is>
      </c>
      <c r="B54" s="3" t="inlineStr">
        <is>
          <t>Female</t>
        </is>
      </c>
      <c r="C54" s="3" t="n">
        <v>29</v>
      </c>
      <c r="D54" s="2" t="inlineStr">
        <is>
          <t>053-340-7070</t>
        </is>
      </c>
      <c r="E54" s="2" t="inlineStr">
        <is>
          <t>Management</t>
        </is>
      </c>
      <c r="F54" s="3" t="n">
        <v>1</v>
      </c>
      <c r="G54" s="4" t="n">
        <v>24100</v>
      </c>
      <c r="H54" s="4" t="n">
        <v>57100</v>
      </c>
      <c r="I54" s="4">
        <f>G54*12+H54</f>
        <v/>
      </c>
    </row>
    <row r="55">
      <c r="A55" s="5" t="inlineStr">
        <is>
          <t>Eitan Avraham</t>
        </is>
      </c>
      <c r="B55" s="6" t="inlineStr">
        <is>
          <t>Male</t>
        </is>
      </c>
      <c r="C55" s="6" t="n">
        <v>63</v>
      </c>
      <c r="D55" s="5" t="inlineStr">
        <is>
          <t>052-361-1079</t>
        </is>
      </c>
      <c r="E55" s="5" t="inlineStr">
        <is>
          <t>Maintenance</t>
        </is>
      </c>
      <c r="F55" s="6" t="n">
        <v>21</v>
      </c>
      <c r="G55" s="7" t="n">
        <v>19000</v>
      </c>
      <c r="H55" s="7" t="n">
        <v>14000</v>
      </c>
      <c r="I55" s="7">
        <f>G55*12+H55</f>
        <v/>
      </c>
    </row>
    <row r="56">
      <c r="A56" s="2" t="inlineStr">
        <is>
          <t>Ron Levi</t>
        </is>
      </c>
      <c r="B56" s="3" t="inlineStr">
        <is>
          <t>Male</t>
        </is>
      </c>
      <c r="C56" s="3" t="n">
        <v>39</v>
      </c>
      <c r="D56" s="2" t="inlineStr">
        <is>
          <t>058-637-7813</t>
        </is>
      </c>
      <c r="E56" s="2" t="inlineStr">
        <is>
          <t>Sales</t>
        </is>
      </c>
      <c r="F56" s="3" t="n">
        <v>14</v>
      </c>
      <c r="G56" s="4" t="n">
        <v>15400</v>
      </c>
      <c r="H56" s="4" t="n">
        <v>27000</v>
      </c>
      <c r="I56" s="4">
        <f>G56*12+H56</f>
        <v/>
      </c>
    </row>
    <row r="57">
      <c r="A57" s="5" t="inlineStr">
        <is>
          <t>Matan Tal</t>
        </is>
      </c>
      <c r="B57" s="6" t="inlineStr">
        <is>
          <t>Male</t>
        </is>
      </c>
      <c r="C57" s="6" t="n">
        <v>38</v>
      </c>
      <c r="D57" s="5" t="inlineStr">
        <is>
          <t>055-760-4676</t>
        </is>
      </c>
      <c r="E57" s="5" t="inlineStr">
        <is>
          <t>Sales</t>
        </is>
      </c>
      <c r="F57" s="6" t="n">
        <v>11</v>
      </c>
      <c r="G57" s="7" t="n">
        <v>15500</v>
      </c>
      <c r="H57" s="7" t="n">
        <v>50700</v>
      </c>
      <c r="I57" s="7">
        <f>G57*12+H57</f>
        <v/>
      </c>
    </row>
    <row r="58">
      <c r="A58" s="2" t="inlineStr">
        <is>
          <t>Stav Tzur</t>
        </is>
      </c>
      <c r="B58" s="3" t="inlineStr">
        <is>
          <t>Female</t>
        </is>
      </c>
      <c r="C58" s="3" t="n">
        <v>39</v>
      </c>
      <c r="D58" s="2" t="inlineStr">
        <is>
          <t>055-678-8915</t>
        </is>
      </c>
      <c r="E58" s="2" t="inlineStr">
        <is>
          <t>Maintenance</t>
        </is>
      </c>
      <c r="F58" s="3" t="n">
        <v>14</v>
      </c>
      <c r="G58" s="4" t="n">
        <v>17000</v>
      </c>
      <c r="H58" s="4" t="n">
        <v>16100</v>
      </c>
      <c r="I58" s="4">
        <f>G58*12+H58</f>
        <v/>
      </c>
    </row>
    <row r="59">
      <c r="A59" s="5" t="inlineStr">
        <is>
          <t>Roni Golan</t>
        </is>
      </c>
      <c r="B59" s="6" t="inlineStr">
        <is>
          <t>Female</t>
        </is>
      </c>
      <c r="C59" s="6" t="n">
        <v>41</v>
      </c>
      <c r="D59" s="5" t="inlineStr">
        <is>
          <t>058-887-5968</t>
        </is>
      </c>
      <c r="E59" s="5" t="inlineStr">
        <is>
          <t>Service</t>
        </is>
      </c>
      <c r="F59" s="6" t="n">
        <v>20</v>
      </c>
      <c r="G59" s="7" t="n">
        <v>19800</v>
      </c>
      <c r="H59" s="7" t="n">
        <v>7900</v>
      </c>
      <c r="I59" s="7">
        <f>G59*12+H59</f>
        <v/>
      </c>
    </row>
    <row r="60">
      <c r="A60" s="2" t="inlineStr">
        <is>
          <t>Maor Rosen</t>
        </is>
      </c>
      <c r="B60" s="3" t="inlineStr">
        <is>
          <t>Male</t>
        </is>
      </c>
      <c r="C60" s="3" t="n">
        <v>33</v>
      </c>
      <c r="D60" s="2" t="inlineStr">
        <is>
          <t>053-699-9105</t>
        </is>
      </c>
      <c r="E60" s="2" t="inlineStr">
        <is>
          <t>Maintenance</t>
        </is>
      </c>
      <c r="F60" s="3" t="n">
        <v>5</v>
      </c>
      <c r="G60" s="4" t="n">
        <v>14100</v>
      </c>
      <c r="H60" s="4" t="n">
        <v>14300</v>
      </c>
      <c r="I60" s="4">
        <f>G60*12+H60</f>
        <v/>
      </c>
    </row>
    <row r="61">
      <c r="A61" s="5" t="inlineStr">
        <is>
          <t>Yael Bar-On</t>
        </is>
      </c>
      <c r="B61" s="6" t="inlineStr">
        <is>
          <t>Female</t>
        </is>
      </c>
      <c r="C61" s="6" t="n">
        <v>56</v>
      </c>
      <c r="D61" s="5" t="inlineStr">
        <is>
          <t>053-338-1929</t>
        </is>
      </c>
      <c r="E61" s="5" t="inlineStr">
        <is>
          <t>Service</t>
        </is>
      </c>
      <c r="F61" s="6" t="n">
        <v>13</v>
      </c>
      <c r="G61" s="7" t="n">
        <v>16500</v>
      </c>
      <c r="H61" s="7" t="n">
        <v>9700</v>
      </c>
      <c r="I61" s="7">
        <f>G61*12+H61</f>
        <v/>
      </c>
    </row>
  </sheetData>
  <autoFilter ref="A1:I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13" customWidth="1" min="4" max="4"/>
    <col width="18" customWidth="1" min="5" max="5"/>
    <col width="22" customWidth="1" min="6" max="6"/>
    <col width="20" customWidth="1" min="7" max="7"/>
    <col width="20" customWidth="1" min="8" max="8"/>
  </cols>
  <sheetData>
    <row r="1">
      <c r="A1" s="8" t="inlineStr">
        <is>
          <t>Headcount &amp; payroll by department</t>
        </is>
      </c>
    </row>
    <row r="2">
      <c r="A2" s="1" t="inlineStr">
        <is>
          <t>Department</t>
        </is>
      </c>
      <c r="B2" s="1" t="inlineStr">
        <is>
          <t>Headcount</t>
        </is>
      </c>
      <c r="C2" s="1" t="inlineStr">
        <is>
          <t>Avg age</t>
        </is>
      </c>
      <c r="D2" s="1" t="inlineStr">
        <is>
          <t>Avg seniority</t>
        </is>
      </c>
      <c r="E2" s="1" t="inlineStr">
        <is>
          <t>Avg monthly salary</t>
        </is>
      </c>
      <c r="F2" s="1" t="inlineStr">
        <is>
          <t>Total monthly payroll</t>
        </is>
      </c>
      <c r="G2" s="1" t="inlineStr">
        <is>
          <t>Total annual bonuses</t>
        </is>
      </c>
      <c r="H2" s="1" t="inlineStr">
        <is>
          <t>Total annual cost</t>
        </is>
      </c>
    </row>
    <row r="3">
      <c r="A3" s="2" t="inlineStr">
        <is>
          <t>Sales</t>
        </is>
      </c>
      <c r="B3" s="3" t="n">
        <v>17</v>
      </c>
      <c r="C3" s="3" t="n">
        <v>42.5</v>
      </c>
      <c r="D3" s="3" t="n">
        <v>8.1</v>
      </c>
      <c r="E3" s="4" t="n">
        <v>13018</v>
      </c>
      <c r="F3" s="4" t="n">
        <v>221300</v>
      </c>
      <c r="G3" s="4" t="n">
        <v>712300</v>
      </c>
      <c r="H3" s="4" t="n">
        <v>3367900</v>
      </c>
    </row>
    <row r="4">
      <c r="A4" s="5" t="inlineStr">
        <is>
          <t>Management</t>
        </is>
      </c>
      <c r="B4" s="6" t="n">
        <v>9</v>
      </c>
      <c r="C4" s="6" t="n">
        <v>39.9</v>
      </c>
      <c r="D4" s="6" t="n">
        <v>8.1</v>
      </c>
      <c r="E4" s="7" t="n">
        <v>26789</v>
      </c>
      <c r="F4" s="7" t="n">
        <v>241100</v>
      </c>
      <c r="G4" s="7" t="n">
        <v>736900</v>
      </c>
      <c r="H4" s="7" t="n">
        <v>3630100</v>
      </c>
    </row>
    <row r="5">
      <c r="A5" s="2" t="inlineStr">
        <is>
          <t>Maintenance</t>
        </is>
      </c>
      <c r="B5" s="3" t="n">
        <v>21</v>
      </c>
      <c r="C5" s="3" t="n">
        <v>43.9</v>
      </c>
      <c r="D5" s="3" t="n">
        <v>11.5</v>
      </c>
      <c r="E5" s="4" t="n">
        <v>15600</v>
      </c>
      <c r="F5" s="4" t="n">
        <v>327600</v>
      </c>
      <c r="G5" s="4" t="n">
        <v>269800</v>
      </c>
      <c r="H5" s="4" t="n">
        <v>4201000</v>
      </c>
    </row>
    <row r="6">
      <c r="A6" s="5" t="inlineStr">
        <is>
          <t>Service</t>
        </is>
      </c>
      <c r="B6" s="6" t="n">
        <v>13</v>
      </c>
      <c r="C6" s="6" t="n">
        <v>37.9</v>
      </c>
      <c r="D6" s="6" t="n">
        <v>9</v>
      </c>
      <c r="E6" s="7" t="n">
        <v>13931</v>
      </c>
      <c r="F6" s="7" t="n">
        <v>181100</v>
      </c>
      <c r="G6" s="7" t="n">
        <v>132700</v>
      </c>
      <c r="H6" s="7" t="n">
        <v>2305900</v>
      </c>
    </row>
  </sheetData>
  <autoFilter ref="A2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2026-06-05T17:21:34Z</dcterms:created>
  <dcterms:modified xsi:type="dcterms:W3CDTF">2026-06-05T17:21:34Z</dcterms:modified>
</cp:coreProperties>
</file>